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d255f9e19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s por Consultor" sheetId="1" r:id="Rd2c33225ebc84c0e"/>
    <x:sheet xmlns:r="http://schemas.openxmlformats.org/officeDocument/2006/relationships" name="Metas Diárias Equipe" sheetId="2" r:id="Rf5f5fc8fd6ec4f4a"/>
    <x:sheet xmlns:r="http://schemas.openxmlformats.org/officeDocument/2006/relationships" name="Painel Equipe" sheetId="3" r:id="Rd91a97c9e37e49f2"/>
    <x:sheet xmlns:r="http://schemas.openxmlformats.org/officeDocument/2006/relationships" name="Painel Web" sheetId="4" r:id="R69fab8e68df04c32"/>
  </x:sheets>
</x:workbook>
</file>

<file path=xl/sharedStrings.xml><?xml version="1.0" encoding="utf-8"?>
<x:sst xmlns:x="http://schemas.openxmlformats.org/spreadsheetml/2006/main">
  <x:si>
    <x:t xml:space="preserve">METAS DIÁRIAS POR CONSULTOR</x:t>
  </x:si>
  <x:si>
    <x:t xml:space="preserve">Consultor</x:t>
  </x:si>
  <x:si>
    <x:t xml:space="preserve">Dia</x:t>
  </x:si>
  <x:si>
    <x:t xml:space="preserve">Prospecção fria — Meta</x:t>
  </x:si>
  <x:si>
    <x:t xml:space="preserve">Prospecção fria — Realizado</x:t>
  </x:si>
  <x:si>
    <x:t xml:space="preserve">Prospecção fria — %</x:t>
  </x:si>
  <x:si>
    <x:t xml:space="preserve">Follow-up — Meta</x:t>
  </x:si>
  <x:si>
    <x:t xml:space="preserve">Follow-up — Realizado</x:t>
  </x:si>
  <x:si>
    <x:t xml:space="preserve">Follow-up — %</x:t>
  </x:si>
  <x:si>
    <x:t xml:space="preserve">Anúncios/Leads — Meta</x:t>
  </x:si>
  <x:si>
    <x:t xml:space="preserve">Anúncios/Leads — Realizado</x:t>
  </x:si>
  <x:si>
    <x:t xml:space="preserve">Anúncios/Leads — %</x:t>
  </x:si>
  <x:si>
    <x:t xml:space="preserve">Adriano</x:t>
  </x:si>
  <x:si>
    <x:t xml:space="preserve">Dia 1</x:t>
  </x:si>
  <x:si>
    <x:t xml:space="preserve">Dia 2</x:t>
  </x:si>
  <x:si>
    <x:t xml:space="preserve">Dia 3</x:t>
  </x:si>
  <x:si>
    <x:t xml:space="preserve">Dia 4</x:t>
  </x:si>
  <x:si>
    <x:t xml:space="preserve">Dia 5</x:t>
  </x:si>
  <x:si>
    <x:t xml:space="preserve">Total Consultor 1</x:t>
  </x:si>
  <x:si>
    <x:t xml:space="preserve">Vinicius</x:t>
  </x:si>
  <x:si>
    <x:t xml:space="preserve">Total Consultor 2</x:t>
  </x:si>
  <x:si>
    <x:t xml:space="preserve">Gustavo </x:t>
  </x:si>
  <x:si>
    <x:t xml:space="preserve">Total Consultor 3</x:t>
  </x:si>
  <x:si>
    <x:t xml:space="preserve">METAS DIÁRIAS — EQUIPE (R$)</x:t>
  </x:si>
  <x:si>
    <x:t xml:space="preserve">Meta orçamento (R$)</x:t>
  </x:si>
  <x:si>
    <x:t xml:space="preserve">Orçamento realizado (R$)</x:t>
  </x:si>
  <x:si>
    <x:t xml:space="preserve">% meta orçamento</x:t>
  </x:si>
  <x:si>
    <x:t xml:space="preserve">Meta vendas (R$)</x:t>
  </x:si>
  <x:si>
    <x:t xml:space="preserve">Vendas realizado (R$)</x:t>
  </x:si>
  <x:si>
    <x:t xml:space="preserve">% meta vendas</x:t>
  </x:si>
  <x:si>
    <x:t xml:space="preserve">TOTAL SEMANA</x:t>
  </x:si>
  <x:si>
    <x:t xml:space="preserve">META GERAL DA SEMANA: R$ 200.000 em orçamentos  •  R$ 50.000 em vendas fechadas</x:t>
  </x:si>
  <x:si>
    <x:t xml:space="preserve">PAINEL DE MÉTRICAS DA SEMANA</x:t>
  </x:si>
  <x:si>
    <x:t xml:space="preserve">Unctus Acabamentos — Metas: R$ 200.000 em orçamentos  •  R$ 50.000 em vendas fechadas</x:t>
  </x:si>
  <x:si>
    <x:t xml:space="preserve">PAINEL DA EQUIPE</x:t>
  </x:si>
  <x:si>
    <x:t xml:space="preserve">Contatos abordados</x:t>
  </x:si>
  <x:si>
    <x:t xml:space="preserve">Taxa de resposta</x:t>
  </x:si>
  <x:si>
    <x:t xml:space="preserve">Orçamentos enviados</x:t>
  </x:si>
  <x:si>
    <x:t xml:space="preserve">Follow-ups</x:t>
  </x:si>
  <x:si>
    <x:t xml:space="preserve">Ligações</x:t>
  </x:si>
  <x:si>
    <x:t xml:space="preserve">Fechamentos</x:t>
  </x:si>
  <x:si>
    <x:t xml:space="preserve">Meta batida?</x:t>
  </x:si>
  <x:si>
    <x:t xml:space="preserve">Vinicius </x:t>
  </x:si>
  <x:si>
    <x:t xml:space="preserve">Gustavo</x:t>
  </x:si>
  <x:si>
    <x:t xml:space="preserve">Total equipe</x:t>
  </x:si>
  <x:si>
    <x:t xml:space="preserve">DESAFIO DA SEMANA</x:t>
  </x:si>
  <x:si>
    <x:t xml:space="preserve">Técnica</x:t>
  </x:si>
  <x:si>
    <x:t xml:space="preserve">Meta individual</x:t>
  </x:si>
  <x:si>
    <x:t xml:space="preserve">Alcançou?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</x:si>
</x:sst>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4">
    <x:font>
      <x:sz val="11"/>
      <x:color rgb="FF000000"/>
      <x:name val="Calibri"/>
    </x:font>
    <x:font>
      <x:b/>
      <x:sz val="18"/>
      <x:color rgb="FFFFFFFF"/>
      <x:name val="Calibri"/>
    </x:font>
    <x:font>
      <x:b/>
      <x:i/>
      <x:sz val="10"/>
      <x:color rgb="FFFFFFFF"/>
      <x:name val="Calibri"/>
    </x:font>
    <x:font>
      <x:b/>
      <x:color rgb="FFFFFFFF"/>
      <x:name val="Calibri"/>
    </x:font>
    <x:font>
      <x:b/>
      <x:sz val="9"/>
      <x:color rgb="FFFFFFFF"/>
      <x:name val="Calibri"/>
    </x:font>
    <x:font>
      <x:sz val="10"/>
      <x:color rgb="FF2B2B28"/>
      <x:name val="Calibri"/>
    </x:font>
    <x:font>
      <x:b/>
      <x:sz val="10"/>
      <x:color rgb="FF1F2A24"/>
      <x:name val="Calibri"/>
    </x:font>
    <x:font>
      <x:b/>
      <x:sz val="18"/>
      <x:color rgb="FF1F2A24"/>
      <x:name val="Calibri"/>
    </x:font>
    <x:font>
      <x:i/>
      <x:sz val="10"/>
      <x:color rgb="FF55534C"/>
      <x:name val="Calibri"/>
    </x:font>
    <x:font>
      <x:b/>
      <x:sz val="12"/>
      <x:color rgb="FFFFFFFF"/>
      <x:name val="Calibri"/>
    </x:font>
    <x:font/>
    <x:font>
      <x:b/>
      <x:sz val="11"/>
      <x:color rgb="FFFFFFFF"/>
      <x:name val="Calibri"/>
    </x:font>
    <x:font>
      <x:sz val="11"/>
      <x:color rgb="FF1D241A"/>
      <x:name val="Calibri"/>
    </x:font>
    <x:font>
      <x:i/>
      <x:sz val="11"/>
      <x:color rgb="FF6B5623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000000"/>
      </x:patternFill>
    </x:fill>
    <x:fill>
      <x:patternFill patternType="solid">
        <x:fgColor rgb="FFEDEBE3"/>
      </x:patternFill>
    </x:fill>
    <x:fill>
      <x:patternFill patternType="solid">
        <x:fgColor rgb="FF1F2A24"/>
      </x:patternFill>
    </x:fill>
    <x:fill>
      <x:patternFill patternType="solid">
        <x:fgColor rgb="FF24351F"/>
      </x:patternFill>
    </x:fill>
    <x:fill>
      <x:patternFill patternType="solid">
        <x:fgColor rgb="FFF4F7F1"/>
      </x:patternFill>
    </x:fill>
    <x:fill>
      <x:patternFill patternType="solid">
        <x:fgColor rgb="FFFFF4D6"/>
      </x:patternFill>
    </x:fill>
  </x:fills>
  <x:borders count="13">
    <x:border/>
    <x:border>
      <x:left style="thin">
        <x:color rgb="FFCFC9BD"/>
      </x:left>
      <x:right style="thin">
        <x:color rgb="FFCFC9BD"/>
      </x:right>
      <x:top style="thin">
        <x:color rgb="FFCFC9BD"/>
      </x:top>
      <x:bottom style="thin">
        <x:color rgb="FFCFC9BD"/>
      </x:bottom>
    </x:border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 applyFont="1" applyAlignment="1"/>
  </x:cellStyleXfs>
  <x:cellXfs count="7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0"/>
    </x:xf>
    <x:xf numFmtId="0" fontId="2" fillId="2" borderId="0" xfId="0" applyFont="1" applyAlignment="1">
      <x:alignment vertical="bottom" wrapText="0"/>
    </x:xf>
    <x:xf numFmtId="0" fontId="3" fillId="2" borderId="0" xfId="0" applyFont="1" applyAlignment="1">
      <x:alignment vertical="center" wrapText="0"/>
    </x:xf>
    <x:xf numFmtId="0" fontId="4" fillId="2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5" fillId="0" borderId="1" xfId="0" applyNumberFormat="1" applyFont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vertical="center"/>
    </x:xf>
    <x:xf numFmtId="0" fontId="8" fillId="0" borderId="0" xfId="0" applyFont="1" applyAlignment="1">
      <x:alignment vertical="center"/>
    </x:xf>
    <x:xf numFmtId="0" fontId="4" fillId="4" borderId="1" xfId="0" applyFont="1" applyFill="1" applyBorder="1" applyAlignment="1">
      <x:alignment horizontal="center" vertical="center" wrapText="1"/>
    </x:xf>
    <x:xf numFmtId="0" fontId="9" fillId="4" borderId="2" xfId="0" applyFont="1" applyBorder="1" applyAlignment="1">
      <x:alignment horizontal="left" vertical="center"/>
    </x:xf>
    <x:xf numFmtId="0" fontId="10" fillId="0" borderId="3" xfId="0" applyFont="1" applyBorder="1"/>
    <x:xf numFmtId="0" fontId="10" fillId="0" borderId="4" xfId="0" applyFont="1" applyBorder="1"/>
    <x:xf numFmtId="0" fontId="5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vertical="bottom" wrapText="0"/>
    </x:xf>
    <x:xf numFmtId="0" fontId="3" fillId="2" borderId="0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9" fontId="5" fillId="0" borderId="1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5" fillId="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11" fillId="5" borderId="0" xfId="0" applyNumberFormat="1" applyFont="1" applyFill="1" applyBorder="1" applyAlignment="1">
      <x:alignment vertical="bottom" wrapText="0"/>
    </x:xf>
    <x:xf numFmtId="0" fontId="11" fillId="5" borderId="0" xfId="0" applyNumberFormat="1" applyFont="1" applyFill="1" applyBorder="1" applyAlignment="1">
      <x:alignment horizontal="center" vertical="bottom" wrapText="0"/>
    </x:xf>
    <x:xf numFmtId="0" fontId="11" fillId="5" borderId="0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12" fillId="6" borderId="0" xfId="0" applyNumberFormat="1" applyFont="1" applyFill="1" applyBorder="1" applyAlignment="1">
      <x:alignment vertical="bottom" wrapText="0"/>
    </x:xf>
    <x:xf numFmtId="0" fontId="12" fillId="6" borderId="5" xfId="0" applyNumberFormat="1" applyFont="1" applyFill="1" applyBorder="1" applyAlignment="1">
      <x:alignment vertical="bottom" wrapText="0"/>
    </x:xf>
    <x:xf numFmtId="0" fontId="12" fillId="6" borderId="6" xfId="0" applyNumberFormat="1" applyFont="1" applyFill="1" applyBorder="1" applyAlignment="1">
      <x:alignment vertical="bottom" wrapText="0"/>
    </x:xf>
    <x:xf numFmtId="0" fontId="12" fillId="6" borderId="7" xfId="0" applyNumberFormat="1" applyFont="1" applyFill="1" applyBorder="1" applyAlignment="1">
      <x:alignment vertical="bottom" wrapText="0"/>
    </x:xf>
    <x:xf numFmtId="0" fontId="12" fillId="6" borderId="8" xfId="0" applyNumberFormat="1" applyFont="1" applyFill="1" applyBorder="1" applyAlignment="1">
      <x:alignment vertical="bottom" wrapText="0"/>
    </x:xf>
    <x:xf numFmtId="0" fontId="12" fillId="6" xfId="0" applyNumberFormat="1" applyFont="1" applyFill="1" applyBorder="0" applyAlignment="1">
      <x:alignment vertical="bottom" wrapText="0"/>
    </x:xf>
    <x:xf numFmtId="0" fontId="12" fillId="6" borderId="9" xfId="0" applyNumberFormat="1" applyFont="1" applyFill="1" applyBorder="1" applyAlignment="1">
      <x:alignment vertical="bottom" wrapText="0"/>
    </x:xf>
    <x:xf numFmtId="0" fontId="12" fillId="6" borderId="10" xfId="0" applyNumberFormat="1" applyFont="1" applyFill="1" applyBorder="1" applyAlignment="1">
      <x:alignment vertical="bottom" wrapText="0"/>
    </x:xf>
    <x:xf numFmtId="0" fontId="12" fillId="6" borderId="11" xfId="0" applyNumberFormat="1" applyFont="1" applyFill="1" applyBorder="1" applyAlignment="1">
      <x:alignment vertical="bottom" wrapText="0"/>
    </x:xf>
    <x:xf numFmtId="0" fontId="12" fillId="6" borderId="12" xfId="0" applyNumberFormat="1" applyFont="1" applyFill="1" applyBorder="1" applyAlignment="1">
      <x:alignment vertical="bottom" wrapText="0"/>
    </x:xf>
    <x:xf numFmtId="0" fontId="12" fillId="6" borderId="5" xfId="0" applyNumberFormat="1" applyFont="1" applyFill="1" applyBorder="1" applyAlignment="1">
      <x:alignment horizontal="center" vertical="bottom" wrapText="0"/>
    </x:xf>
    <x:xf numFmtId="0" fontId="12" fillId="6" borderId="6" xfId="0" applyNumberFormat="1" applyFont="1" applyFill="1" applyBorder="1" applyAlignment="1">
      <x:alignment horizontal="center" vertical="bottom" wrapText="0"/>
    </x:xf>
    <x:xf numFmtId="0" fontId="12" fillId="6" borderId="7" xfId="0" applyNumberFormat="1" applyFont="1" applyFill="1" applyBorder="1" applyAlignment="1">
      <x:alignment horizontal="center" vertical="bottom" wrapText="0"/>
    </x:xf>
    <x:xf numFmtId="0" fontId="12" fillId="6" borderId="8" xfId="0" applyNumberFormat="1" applyFont="1" applyFill="1" applyBorder="1" applyAlignment="1">
      <x:alignment horizontal="center" vertical="bottom" wrapText="0"/>
    </x:xf>
    <x:xf numFmtId="0" fontId="12" fillId="6" xfId="0" applyNumberFormat="1" applyFont="1" applyFill="1" applyBorder="0" applyAlignment="1">
      <x:alignment horizontal="center" vertical="bottom" wrapText="0"/>
    </x:xf>
    <x:xf numFmtId="0" fontId="12" fillId="6" borderId="9" xfId="0" applyNumberFormat="1" applyFont="1" applyFill="1" applyBorder="1" applyAlignment="1">
      <x:alignment horizontal="center" vertical="bottom" wrapText="0"/>
    </x:xf>
    <x:xf numFmtId="0" fontId="12" fillId="6" borderId="10" xfId="0" applyNumberFormat="1" applyFont="1" applyFill="1" applyBorder="1" applyAlignment="1">
      <x:alignment horizontal="center" vertical="bottom" wrapText="0"/>
    </x:xf>
    <x:xf numFmtId="0" fontId="12" fillId="6" borderId="11" xfId="0" applyNumberFormat="1" applyFont="1" applyFill="1" applyBorder="1" applyAlignment="1">
      <x:alignment horizontal="center" vertical="bottom" wrapText="0"/>
    </x:xf>
    <x:xf numFmtId="0" fontId="12" fillId="6" borderId="12" xfId="0" applyNumberFormat="1" applyFont="1" applyFill="1" applyBorder="1" applyAlignment="1">
      <x:alignment horizontal="center" vertical="bottom" wrapText="0"/>
    </x:xf>
    <x:xf numFmtId="0" fontId="12" fillId="6" borderId="5" xfId="0" applyNumberFormat="1" applyFont="1" applyFill="1" applyBorder="1" applyAlignment="1">
      <x:alignment horizontal="center" vertical="center" wrapText="0"/>
    </x:xf>
    <x:xf numFmtId="0" fontId="12" fillId="6" borderId="6" xfId="0" applyNumberFormat="1" applyFont="1" applyFill="1" applyBorder="1" applyAlignment="1">
      <x:alignment horizontal="center" vertical="center" wrapText="0"/>
    </x:xf>
    <x:xf numFmtId="0" fontId="12" fillId="6" borderId="7" xfId="0" applyNumberFormat="1" applyFont="1" applyFill="1" applyBorder="1" applyAlignment="1">
      <x:alignment horizontal="center" vertical="center" wrapText="0"/>
    </x:xf>
    <x:xf numFmtId="0" fontId="12" fillId="6" borderId="8" xfId="0" applyNumberFormat="1" applyFont="1" applyFill="1" applyBorder="1" applyAlignment="1">
      <x:alignment horizontal="center" vertical="center" wrapText="0"/>
    </x:xf>
    <x:xf numFmtId="0" fontId="12" fillId="6" xfId="0" applyNumberFormat="1" applyFont="1" applyFill="1" applyBorder="0" applyAlignment="1">
      <x:alignment horizontal="center" vertical="center" wrapText="0"/>
    </x:xf>
    <x:xf numFmtId="0" fontId="12" fillId="6" borderId="9" xfId="0" applyNumberFormat="1" applyFont="1" applyFill="1" applyBorder="1" applyAlignment="1">
      <x:alignment horizontal="center" vertical="center" wrapText="0"/>
    </x:xf>
    <x:xf numFmtId="0" fontId="12" fillId="6" borderId="10" xfId="0" applyNumberFormat="1" applyFont="1" applyFill="1" applyBorder="1" applyAlignment="1">
      <x:alignment horizontal="center" vertical="center" wrapText="0"/>
    </x:xf>
    <x:xf numFmtId="0" fontId="12" fillId="6" borderId="11" xfId="0" applyNumberFormat="1" applyFont="1" applyFill="1" applyBorder="1" applyAlignment="1">
      <x:alignment horizontal="center" vertical="center" wrapText="0"/>
    </x:xf>
    <x:xf numFmtId="0" fontId="12" fillId="6" borderId="12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13" fillId="7" borderId="0" xfId="0" applyNumberFormat="1" applyFont="1" applyFill="1" applyBorder="1" applyAlignment="1">
      <x:alignment vertical="bottom" wrapText="0"/>
    </x:xf>
    <x:xf numFmtId="0" fontId="13" fillId="7" borderId="0" xfId="0" applyNumberFormat="1" applyFont="1" applyFill="1" applyBorder="1" applyAlignment="1">
      <x:alignment vertical="bottom" wrapText="1"/>
    </x:xf>
    <x:xf numFmtId="200" fontId="12" fillId="6" borderId="6" xfId="0" applyNumberFormat="1" applyFont="1" applyFill="1" applyBorder="1" applyAlignment="1">
      <x:alignment horizontal="center" vertical="center" wrapText="0"/>
    </x:xf>
    <x:xf numFmtId="200" fontId="12" fillId="6" borderId="7" xfId="0" applyNumberFormat="1" applyFont="1" applyFill="1" applyBorder="1" applyAlignment="1">
      <x:alignment horizontal="center" vertical="center" wrapText="0"/>
    </x:xf>
    <x:xf numFmtId="200" fontId="12" fillId="6" xfId="0" applyNumberFormat="1" applyFont="1" applyFill="1" applyBorder="0" applyAlignment="1">
      <x:alignment horizontal="center" vertical="center" wrapText="0"/>
    </x:xf>
    <x:xf numFmtId="200" fontId="12" fillId="6" borderId="9" xfId="0" applyNumberFormat="1" applyFont="1" applyFill="1" applyBorder="1" applyAlignment="1">
      <x:alignment horizontal="center" vertical="center" wrapText="0"/>
    </x:xf>
    <x:xf numFmtId="200" fontId="12" fillId="6" borderId="11" xfId="0" applyNumberFormat="1" applyFont="1" applyFill="1" applyBorder="1" applyAlignment="1">
      <x:alignment horizontal="center" vertical="center" wrapText="0"/>
    </x:xf>
    <x:xf numFmtId="200" fontId="12" fillId="6" borderId="12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e52e110e344b3" /><Relationship Type="http://schemas.openxmlformats.org/officeDocument/2006/relationships/theme" Target="/xl/theme/theme1.xml" Id="R3b65078f48934b3a" /><Relationship Type="http://schemas.openxmlformats.org/officeDocument/2006/relationships/sharedStrings" Target="/xl/sharedStrings.xml" Id="R98a2d3d9b02c4385" /><Relationship Type="http://schemas.openxmlformats.org/officeDocument/2006/relationships/worksheet" Target="/xl/worksheets/sheet1.xml" Id="Rd2c33225ebc84c0e" /><Relationship Type="http://schemas.openxmlformats.org/officeDocument/2006/relationships/worksheet" Target="/xl/worksheets/sheet2.xml" Id="Rf5f5fc8fd6ec4f4a" /><Relationship Type="http://schemas.openxmlformats.org/officeDocument/2006/relationships/worksheet" Target="/xl/worksheets/sheet3.xml" Id="Rd91a97c9e37e49f2" /><Relationship Type="http://schemas.openxmlformats.org/officeDocument/2006/relationships/worksheet" Target="/xl/worksheets/sheet4.xml" Id="R69fab8e68df04c3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6" customWidth="1"/>
    <x:col min="2" max="2" width="10" customWidth="1"/>
    <x:col min="3" max="3" width="16" customWidth="1"/>
    <x:col min="4" max="4" width="18" customWidth="1"/>
    <x:col min="5" max="5" width="12" customWidth="1"/>
    <x:col min="6" max="6" width="14" customWidth="1"/>
    <x:col min="7" max="7" width="16" customWidth="1"/>
    <x:col min="8" max="8" width="12" customWidth="1"/>
    <x:col min="9" max="9" width="16" customWidth="1"/>
    <x:col min="10" max="10" width="18" customWidth="1"/>
    <x:col min="11" max="11" width="12" customWidth="1"/>
  </x:cols>
  <x:sheetData>
    <x:row r="1" ht="21.75" customHeight="1">
      <x:c r="A1" s="1" t="s">
        <x:v>0</x:v>
      </x:c>
    </x:row>
    <x:row r="2" ht="15.75" customHeight="1">
      <x:c r="A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2" customHeight="1">
      <x:c r="A4" s="4" t="s">
        <x:v>1</x:v>
      </x:c>
      <x:c r="B4" s="4" t="s">
        <x:v>2</x:v>
      </x:c>
      <x:c r="C4" s="4" t="s">
        <x:v>3</x:v>
      </x:c>
      <x:c r="D4" s="4" t="s">
        <x:v>4</x:v>
      </x:c>
      <x:c r="E4" s="4" t="s">
        <x:v>5</x:v>
      </x:c>
      <x:c r="F4" s="4" t="s">
        <x:v>6</x:v>
      </x:c>
      <x:c r="G4" s="4" t="s">
        <x:v>7</x:v>
      </x:c>
      <x:c r="H4" s="4" t="s">
        <x:v>8</x:v>
      </x:c>
      <x:c r="I4" s="4" t="s">
        <x:v>9</x:v>
      </x:c>
      <x:c r="J4" s="4" t="s">
        <x:v>10</x:v>
      </x:c>
      <x:c r="K4" s="4" t="s">
        <x:v>11</x:v>
      </x:c>
    </x:row>
    <x:row r="5">
      <x:c r="A5" s="5" t="s">
        <x:v>12</x:v>
      </x:c>
      <x:c r="B5" s="6" t="s">
        <x:v>13</x:v>
      </x:c>
      <x:c r="C5" s="5">
        <x:v>15.0</x:v>
      </x:c>
      <x:c r="D5" s="6">
        <x:v>0.0</x:v>
      </x:c>
      <x:c r="E5" s="7" t="n">
        <x:f t="shared" ref="E5:E10" si="1">IFERROR(D5/C5,0)</x:f>
        <x:v>0</x:v>
      </x:c>
      <x:c r="F5" s="6">
        <x:v>8.0</x:v>
      </x:c>
      <x:c r="G5" s="6">
        <x:v>0.0</x:v>
      </x:c>
      <x:c r="H5" s="7" t="n">
        <x:f t="shared" ref="H5:H10" si="2">IFERROR(G5/F5,0)</x:f>
        <x:v>0</x:v>
      </x:c>
      <x:c r="I5" s="6">
        <x:v>5.0</x:v>
      </x:c>
      <x:c r="J5" s="6">
        <x:v>0.0</x:v>
      </x:c>
      <x:c r="K5" s="7" t="n">
        <x:f t="shared" ref="K5:K10" si="3">IFERROR(J5/I5,0)</x:f>
        <x:v>0</x:v>
      </x:c>
    </x:row>
    <x:row r="6">
      <x:c r="A6" s="5" t="s">
        <x:v>12</x:v>
      </x:c>
      <x:c r="B6" s="6" t="s">
        <x:v>14</x:v>
      </x:c>
      <x:c r="C6" s="5">
        <x:v>15.0</x:v>
      </x:c>
      <x:c r="D6" s="6">
        <x:v>0.0</x:v>
      </x:c>
      <x:c r="E6" s="7">
        <x:f t="shared" si="1"/>
        <x:v>0</x:v>
      </x:c>
      <x:c r="F6" s="6">
        <x:v>8.0</x:v>
      </x:c>
      <x:c r="G6" s="6">
        <x:v>0.0</x:v>
      </x:c>
      <x:c r="H6" s="7">
        <x:f t="shared" si="2"/>
        <x:v>0</x:v>
      </x:c>
      <x:c r="I6" s="6">
        <x:v>5.0</x:v>
      </x:c>
      <x:c r="J6" s="6">
        <x:v>0.0</x:v>
      </x:c>
      <x:c r="K6" s="7">
        <x:f t="shared" si="3"/>
        <x:v>0</x:v>
      </x:c>
    </x:row>
    <x:row r="7">
      <x:c r="A7" s="5" t="s">
        <x:v>12</x:v>
      </x:c>
      <x:c r="B7" s="6" t="s">
        <x:v>15</x:v>
      </x:c>
      <x:c r="C7" s="5">
        <x:v>15.0</x:v>
      </x:c>
      <x:c r="D7" s="6">
        <x:v>0.0</x:v>
      </x:c>
      <x:c r="E7" s="7">
        <x:f t="shared" si="1"/>
        <x:v>0</x:v>
      </x:c>
      <x:c r="F7" s="6">
        <x:v>8.0</x:v>
      </x:c>
      <x:c r="G7" s="6">
        <x:v>0.0</x:v>
      </x:c>
      <x:c r="H7" s="7">
        <x:f t="shared" si="2"/>
        <x:v>0</x:v>
      </x:c>
      <x:c r="I7" s="6">
        <x:v>5.0</x:v>
      </x:c>
      <x:c r="J7" s="6">
        <x:v>0.0</x:v>
      </x:c>
      <x:c r="K7" s="7">
        <x:f t="shared" si="3"/>
        <x:v>0</x:v>
      </x:c>
    </x:row>
    <x:row r="8">
      <x:c r="A8" s="5" t="s">
        <x:v>12</x:v>
      </x:c>
      <x:c r="B8" s="6" t="s">
        <x:v>16</x:v>
      </x:c>
      <x:c r="C8" s="5">
        <x:v>15.0</x:v>
      </x:c>
      <x:c r="D8" s="6">
        <x:v>0.0</x:v>
      </x:c>
      <x:c r="E8" s="7">
        <x:f t="shared" si="1"/>
        <x:v>0</x:v>
      </x:c>
      <x:c r="F8" s="6">
        <x:v>8.0</x:v>
      </x:c>
      <x:c r="G8" s="6">
        <x:v>0.0</x:v>
      </x:c>
      <x:c r="H8" s="7">
        <x:f t="shared" si="2"/>
        <x:v>0</x:v>
      </x:c>
      <x:c r="I8" s="6">
        <x:v>5.0</x:v>
      </x:c>
      <x:c r="J8" s="6">
        <x:v>0.0</x:v>
      </x:c>
      <x:c r="K8" s="7">
        <x:f t="shared" si="3"/>
        <x:v>0</x:v>
      </x:c>
    </x:row>
    <x:row r="9">
      <x:c r="A9" s="5" t="s">
        <x:v>12</x:v>
      </x:c>
      <x:c r="B9" s="6" t="s">
        <x:v>17</x:v>
      </x:c>
      <x:c r="C9" s="5">
        <x:v>15.0</x:v>
      </x:c>
      <x:c r="D9" s="6">
        <x:v>0.0</x:v>
      </x:c>
      <x:c r="E9" s="7">
        <x:f t="shared" si="1"/>
        <x:v>0</x:v>
      </x:c>
      <x:c r="F9" s="6">
        <x:v>8.0</x:v>
      </x:c>
      <x:c r="G9" s="6">
        <x:v>0.0</x:v>
      </x:c>
      <x:c r="H9" s="7">
        <x:f t="shared" si="2"/>
        <x:v>0</x:v>
      </x:c>
      <x:c r="I9" s="6">
        <x:v>5.0</x:v>
      </x:c>
      <x:c r="J9" s="6">
        <x:v>0.0</x:v>
      </x:c>
      <x:c r="K9" s="7">
        <x:f t="shared" si="3"/>
        <x:v>0</x:v>
      </x:c>
    </x:row>
    <x:row r="10">
      <x:c r="A10" s="8" t="s">
        <x:v>18</x:v>
      </x:c>
      <x:c r="B10" s="8"/>
      <x:c r="C10" s="8" t="n">
        <x:f t="shared" ref="C10:D10" si="4">SUM(C5:C9)</x:f>
        <x:v>75</x:v>
      </x:c>
      <x:c r="D10" s="8">
        <x:f t="shared" si="4"/>
        <x:v>0</x:v>
      </x:c>
      <x:c r="E10" s="7">
        <x:f t="shared" si="1"/>
        <x:v>0</x:v>
      </x:c>
      <x:c r="F10" s="8" t="n">
        <x:f t="shared" ref="F10:G10" si="5">SUM(F5:F9)</x:f>
        <x:v>40</x:v>
      </x:c>
      <x:c r="G10" s="8">
        <x:f t="shared" si="5"/>
        <x:v>0</x:v>
      </x:c>
      <x:c r="H10" s="7">
        <x:f t="shared" si="2"/>
        <x:v>0</x:v>
      </x:c>
      <x:c r="I10" s="8" t="n">
        <x:f t="shared" ref="I10:J10" si="6">SUM(I5:I9)</x:f>
        <x:v>25</x:v>
      </x:c>
      <x:c r="J10" s="8">
        <x:f t="shared" si="6"/>
        <x:v>0</x:v>
      </x:c>
      <x:c r="K10" s="7">
        <x:f t="shared" si="3"/>
        <x:v>0</x:v>
      </x:c>
    </x:row>
    <x:row r="12">
      <x:c r="A12" s="5" t="s">
        <x:v>19</x:v>
      </x:c>
      <x:c r="B12" s="6" t="s">
        <x:v>13</x:v>
      </x:c>
      <x:c r="C12" s="5">
        <x:v>15.0</x:v>
      </x:c>
      <x:c r="D12" s="6">
        <x:v>0.0</x:v>
      </x:c>
      <x:c r="E12" s="7" t="n">
        <x:f t="shared" ref="E12:E17" si="7">IFERROR(D12/C12,0)</x:f>
        <x:v>0</x:v>
      </x:c>
      <x:c r="F12" s="6">
        <x:v>8.0</x:v>
      </x:c>
      <x:c r="G12" s="6">
        <x:v>0.0</x:v>
      </x:c>
      <x:c r="H12" s="7" t="n">
        <x:f t="shared" ref="H12:H17" si="8">IFERROR(G12/F12,0)</x:f>
        <x:v>0</x:v>
      </x:c>
      <x:c r="I12" s="6">
        <x:v>5.0</x:v>
      </x:c>
      <x:c r="J12" s="6">
        <x:v>0.0</x:v>
      </x:c>
      <x:c r="K12" s="7" t="n">
        <x:f t="shared" ref="K12:K17" si="9">IFERROR(J12/I12,0)</x:f>
        <x:v>0</x:v>
      </x:c>
    </x:row>
    <x:row r="13">
      <x:c r="A13" s="5" t="s">
        <x:v>19</x:v>
      </x:c>
      <x:c r="B13" s="6" t="s">
        <x:v>14</x:v>
      </x:c>
      <x:c r="C13" s="5">
        <x:v>15.0</x:v>
      </x:c>
      <x:c r="D13" s="6">
        <x:v>0.0</x:v>
      </x:c>
      <x:c r="E13" s="7">
        <x:f t="shared" si="7"/>
        <x:v>0</x:v>
      </x:c>
      <x:c r="F13" s="6">
        <x:v>8.0</x:v>
      </x:c>
      <x:c r="G13" s="6">
        <x:v>0.0</x:v>
      </x:c>
      <x:c r="H13" s="7">
        <x:f t="shared" si="8"/>
        <x:v>0</x:v>
      </x:c>
      <x:c r="I13" s="6">
        <x:v>5.0</x:v>
      </x:c>
      <x:c r="J13" s="6">
        <x:v>0.0</x:v>
      </x:c>
      <x:c r="K13" s="7">
        <x:f t="shared" si="9"/>
        <x:v>0</x:v>
      </x:c>
    </x:row>
    <x:row r="14">
      <x:c r="A14" s="5" t="s">
        <x:v>19</x:v>
      </x:c>
      <x:c r="B14" s="6" t="s">
        <x:v>15</x:v>
      </x:c>
      <x:c r="C14" s="5">
        <x:v>15.0</x:v>
      </x:c>
      <x:c r="D14" s="6">
        <x:v>0.0</x:v>
      </x:c>
      <x:c r="E14" s="7">
        <x:f t="shared" si="7"/>
        <x:v>0</x:v>
      </x:c>
      <x:c r="F14" s="6">
        <x:v>8.0</x:v>
      </x:c>
      <x:c r="G14" s="6">
        <x:v>0.0</x:v>
      </x:c>
      <x:c r="H14" s="7">
        <x:f t="shared" si="8"/>
        <x:v>0</x:v>
      </x:c>
      <x:c r="I14" s="6">
        <x:v>5.0</x:v>
      </x:c>
      <x:c r="J14" s="6">
        <x:v>0.0</x:v>
      </x:c>
      <x:c r="K14" s="7">
        <x:f t="shared" si="9"/>
        <x:v>0</x:v>
      </x:c>
    </x:row>
    <x:row r="15">
      <x:c r="A15" s="5" t="s">
        <x:v>19</x:v>
      </x:c>
      <x:c r="B15" s="6" t="s">
        <x:v>16</x:v>
      </x:c>
      <x:c r="C15" s="5">
        <x:v>15.0</x:v>
      </x:c>
      <x:c r="D15" s="6">
        <x:v>0.0</x:v>
      </x:c>
      <x:c r="E15" s="7">
        <x:f t="shared" si="7"/>
        <x:v>0</x:v>
      </x:c>
      <x:c r="F15" s="6">
        <x:v>8.0</x:v>
      </x:c>
      <x:c r="G15" s="6">
        <x:v>0.0</x:v>
      </x:c>
      <x:c r="H15" s="7">
        <x:f t="shared" si="8"/>
        <x:v>0</x:v>
      </x:c>
      <x:c r="I15" s="6">
        <x:v>5.0</x:v>
      </x:c>
      <x:c r="J15" s="6">
        <x:v>0.0</x:v>
      </x:c>
      <x:c r="K15" s="7">
        <x:f t="shared" si="9"/>
        <x:v>0</x:v>
      </x:c>
    </x:row>
    <x:row r="16">
      <x:c r="A16" s="5" t="s">
        <x:v>19</x:v>
      </x:c>
      <x:c r="B16" s="6" t="s">
        <x:v>17</x:v>
      </x:c>
      <x:c r="C16" s="5">
        <x:v>15.0</x:v>
      </x:c>
      <x:c r="D16" s="6">
        <x:v>0.0</x:v>
      </x:c>
      <x:c r="E16" s="7">
        <x:f t="shared" si="7"/>
        <x:v>0</x:v>
      </x:c>
      <x:c r="F16" s="6">
        <x:v>8.0</x:v>
      </x:c>
      <x:c r="G16" s="6">
        <x:v>0.0</x:v>
      </x:c>
      <x:c r="H16" s="7">
        <x:f t="shared" si="8"/>
        <x:v>0</x:v>
      </x:c>
      <x:c r="I16" s="6">
        <x:v>5.0</x:v>
      </x:c>
      <x:c r="J16" s="6">
        <x:v>0.0</x:v>
      </x:c>
      <x:c r="K16" s="7">
        <x:f t="shared" si="9"/>
        <x:v>0</x:v>
      </x:c>
    </x:row>
    <x:row r="17">
      <x:c r="A17" s="8" t="s">
        <x:v>20</x:v>
      </x:c>
      <x:c r="B17" s="8"/>
      <x:c r="C17" s="8" t="n">
        <x:f t="shared" ref="C17:D17" si="10">SUM(C12:C16)</x:f>
        <x:v>75</x:v>
      </x:c>
      <x:c r="D17" s="8">
        <x:f t="shared" si="10"/>
        <x:v>0</x:v>
      </x:c>
      <x:c r="E17" s="7">
        <x:f t="shared" si="7"/>
        <x:v>0</x:v>
      </x:c>
      <x:c r="F17" s="8" t="n">
        <x:f t="shared" ref="F17:G17" si="11">SUM(F12:F16)</x:f>
        <x:v>40</x:v>
      </x:c>
      <x:c r="G17" s="8">
        <x:f t="shared" si="11"/>
        <x:v>0</x:v>
      </x:c>
      <x:c r="H17" s="7">
        <x:f t="shared" si="8"/>
        <x:v>0</x:v>
      </x:c>
      <x:c r="I17" s="8" t="n">
        <x:f t="shared" ref="I17:J17" si="12">SUM(I12:I16)</x:f>
        <x:v>25</x:v>
      </x:c>
      <x:c r="J17" s="8">
        <x:f t="shared" si="12"/>
        <x:v>0</x:v>
      </x:c>
      <x:c r="K17" s="7">
        <x:f t="shared" si="9"/>
        <x:v>0</x:v>
      </x:c>
    </x:row>
    <x:row r="19">
      <x:c r="A19" s="5" t="s">
        <x:v>21</x:v>
      </x:c>
      <x:c r="B19" s="6" t="s">
        <x:v>13</x:v>
      </x:c>
      <x:c r="C19" s="5">
        <x:v>5.0</x:v>
      </x:c>
      <x:c r="D19" s="6">
        <x:v>0.0</x:v>
      </x:c>
      <x:c r="E19" s="7" t="n">
        <x:f t="shared" ref="E19:E24" si="13">IFERROR(D19/C19,0)</x:f>
        <x:v>0</x:v>
      </x:c>
      <x:c r="F19" s="6">
        <x:v>8.0</x:v>
      </x:c>
      <x:c r="G19" s="6">
        <x:v>0.0</x:v>
      </x:c>
      <x:c r="H19" s="7" t="n">
        <x:f t="shared" ref="H19:H24" si="14">IFERROR(G19/F19,0)</x:f>
        <x:v>0</x:v>
      </x:c>
      <x:c r="I19" s="6">
        <x:v>5.0</x:v>
      </x:c>
      <x:c r="J19" s="6">
        <x:v>0.0</x:v>
      </x:c>
      <x:c r="K19" s="7" t="n">
        <x:f t="shared" ref="K19:K24" si="15">IFERROR(J19/I19,0)</x:f>
        <x:v>0</x:v>
      </x:c>
    </x:row>
    <x:row r="20">
      <x:c r="A20" s="5" t="s">
        <x:v>21</x:v>
      </x:c>
      <x:c r="B20" s="6" t="s">
        <x:v>14</x:v>
      </x:c>
      <x:c r="C20" s="5">
        <x:v>5.0</x:v>
      </x:c>
      <x:c r="D20" s="6">
        <x:v>0.0</x:v>
      </x:c>
      <x:c r="E20" s="7">
        <x:f t="shared" si="13"/>
        <x:v>0</x:v>
      </x:c>
      <x:c r="F20" s="6">
        <x:v>8.0</x:v>
      </x:c>
      <x:c r="G20" s="6">
        <x:v>0.0</x:v>
      </x:c>
      <x:c r="H20" s="7">
        <x:f t="shared" si="14"/>
        <x:v>0</x:v>
      </x:c>
      <x:c r="I20" s="6">
        <x:v>5.0</x:v>
      </x:c>
      <x:c r="J20" s="6">
        <x:v>0.0</x:v>
      </x:c>
      <x:c r="K20" s="7">
        <x:f t="shared" si="15"/>
        <x:v>0</x:v>
      </x:c>
    </x:row>
    <x:row r="21" ht="15.75" customHeight="1">
      <x:c r="A21" s="5" t="s">
        <x:v>21</x:v>
      </x:c>
      <x:c r="B21" s="6" t="s">
        <x:v>15</x:v>
      </x:c>
      <x:c r="C21" s="5">
        <x:v>5.0</x:v>
      </x:c>
      <x:c r="D21" s="6">
        <x:v>0.0</x:v>
      </x:c>
      <x:c r="E21" s="7">
        <x:f t="shared" si="13"/>
        <x:v>0</x:v>
      </x:c>
      <x:c r="F21" s="6">
        <x:v>8.0</x:v>
      </x:c>
      <x:c r="G21" s="6">
        <x:v>0.0</x:v>
      </x:c>
      <x:c r="H21" s="7">
        <x:f t="shared" si="14"/>
        <x:v>0</x:v>
      </x:c>
      <x:c r="I21" s="6">
        <x:v>5.0</x:v>
      </x:c>
      <x:c r="J21" s="6">
        <x:v>0.0</x:v>
      </x:c>
      <x:c r="K21" s="7">
        <x:f t="shared" si="15"/>
        <x:v>0</x:v>
      </x:c>
    </x:row>
    <x:row r="22" ht="15.75" customHeight="1">
      <x:c r="A22" s="5" t="s">
        <x:v>21</x:v>
      </x:c>
      <x:c r="B22" s="6" t="s">
        <x:v>16</x:v>
      </x:c>
      <x:c r="C22" s="5">
        <x:v>5.0</x:v>
      </x:c>
      <x:c r="D22" s="6">
        <x:v>0.0</x:v>
      </x:c>
      <x:c r="E22" s="7">
        <x:f t="shared" si="13"/>
        <x:v>0</x:v>
      </x:c>
      <x:c r="F22" s="6">
        <x:v>8.0</x:v>
      </x:c>
      <x:c r="G22" s="6">
        <x:v>0.0</x:v>
      </x:c>
      <x:c r="H22" s="7">
        <x:f t="shared" si="14"/>
        <x:v>0</x:v>
      </x:c>
      <x:c r="I22" s="6">
        <x:v>5.0</x:v>
      </x:c>
      <x:c r="J22" s="6">
        <x:v>0.0</x:v>
      </x:c>
      <x:c r="K22" s="7">
        <x:f t="shared" si="15"/>
        <x:v>0</x:v>
      </x:c>
    </x:row>
    <x:row r="23" ht="15.75" customHeight="1">
      <x:c r="A23" s="5" t="s">
        <x:v>21</x:v>
      </x:c>
      <x:c r="B23" s="6" t="s">
        <x:v>17</x:v>
      </x:c>
      <x:c r="C23" s="5">
        <x:v>5.0</x:v>
      </x:c>
      <x:c r="D23" s="6">
        <x:v>0.0</x:v>
      </x:c>
      <x:c r="E23" s="7">
        <x:f t="shared" si="13"/>
        <x:v>0</x:v>
      </x:c>
      <x:c r="F23" s="6">
        <x:v>8.0</x:v>
      </x:c>
      <x:c r="G23" s="6">
        <x:v>0.0</x:v>
      </x:c>
      <x:c r="H23" s="7">
        <x:f t="shared" si="14"/>
        <x:v>0</x:v>
      </x:c>
      <x:c r="I23" s="6">
        <x:v>5.0</x:v>
      </x:c>
      <x:c r="J23" s="6">
        <x:v>0.0</x:v>
      </x:c>
      <x:c r="K23" s="7">
        <x:f t="shared" si="15"/>
        <x:v>0</x:v>
      </x:c>
    </x:row>
    <x:row r="24" ht="15.75" customHeight="1">
      <x:c r="A24" s="8" t="s">
        <x:v>22</x:v>
      </x:c>
      <x:c r="B24" s="8"/>
      <x:c r="C24" s="8" t="n">
        <x:f t="shared" ref="C24:D24" si="16">SUM(C19:C23)</x:f>
        <x:v>25</x:v>
      </x:c>
      <x:c r="D24" s="8">
        <x:f t="shared" si="16"/>
        <x:v>0</x:v>
      </x:c>
      <x:c r="E24" s="7">
        <x:f t="shared" si="13"/>
        <x:v>0</x:v>
      </x:c>
      <x:c r="F24" s="8" t="n">
        <x:f t="shared" ref="F24:G24" si="17">SUM(F19:F23)</x:f>
        <x:v>40</x:v>
      </x:c>
      <x:c r="G24" s="8">
        <x:f t="shared" si="17"/>
        <x:v>0</x:v>
      </x:c>
      <x:c r="H24" s="7">
        <x:f t="shared" si="14"/>
        <x:v>0</x:v>
      </x:c>
      <x:c r="I24" s="8" t="n">
        <x:f t="shared" ref="I24:J24" si="18">SUM(I19:I23)</x:f>
        <x:v>25</x:v>
      </x:c>
      <x:c r="J24" s="8">
        <x:f t="shared" si="18"/>
        <x:v>0</x:v>
      </x:c>
      <x:c r="K24" s="7">
        <x:f t="shared" si="15"/>
        <x:v>0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6.860000610351562" customWidth="1"/>
    <x:col min="2" max="2" width="18" customWidth="1"/>
    <x:col min="3" max="3" width="20" customWidth="1"/>
    <x:col min="4" max="5" width="16" customWidth="1"/>
    <x:col min="6" max="6" width="18" customWidth="1"/>
    <x:col min="7" max="7" width="14" customWidth="1"/>
  </x:cols>
  <x:sheetData>
    <x:row r="1" ht="21.75" customHeight="1">
      <x:c r="A1" s="9" t="s">
        <x:v>23</x:v>
      </x:c>
    </x:row>
    <x:row r="2" ht="15.75" customHeight="1">
      <x:c r="A2" s="10"/>
    </x:row>
    <x:row r="4" ht="31.5" customHeight="1">
      <x:c r="A4" s="11" t="s">
        <x:v>2</x:v>
      </x:c>
      <x:c r="B4" s="11" t="s">
        <x:v>24</x:v>
      </x:c>
      <x:c r="C4" s="11" t="s">
        <x:v>25</x:v>
      </x:c>
      <x:c r="D4" s="11" t="s">
        <x:v>26</x:v>
      </x:c>
      <x:c r="E4" s="11" t="s">
        <x:v>27</x:v>
      </x:c>
      <x:c r="F4" s="11" t="s">
        <x:v>28</x:v>
      </x:c>
      <x:c r="G4" s="11" t="s">
        <x:v>29</x:v>
      </x:c>
    </x:row>
    <x:row r="5">
      <x:c r="A5" s="6" t="s">
        <x:v>13</x:v>
      </x:c>
      <x:c r="B5" s="6">
        <x:v>50000.0</x:v>
      </x:c>
      <x:c r="C5" s="6">
        <x:v>0.0</x:v>
      </x:c>
      <x:c r="D5" s="7" t="n">
        <x:f t="shared" ref="D5:D10" si="1">IFERROR(C5/B5,0)</x:f>
        <x:v>0</x:v>
      </x:c>
      <x:c r="E5" s="6">
        <x:v>8000.0</x:v>
      </x:c>
      <x:c r="F5" s="6">
        <x:v>0.0</x:v>
      </x:c>
      <x:c r="G5" s="7" t="n">
        <x:f t="shared" ref="G5:G10" si="2">IFERROR(F5/E5,0)</x:f>
        <x:v>0</x:v>
      </x:c>
    </x:row>
    <x:row r="6">
      <x:c r="A6" s="6" t="s">
        <x:v>14</x:v>
      </x:c>
      <x:c r="B6" s="6">
        <x:v>40000.0</x:v>
      </x:c>
      <x:c r="C6" s="6">
        <x:v>0.0</x:v>
      </x:c>
      <x:c r="D6" s="7">
        <x:f t="shared" si="1"/>
        <x:v>0</x:v>
      </x:c>
      <x:c r="E6" s="6">
        <x:v>10000.0</x:v>
      </x:c>
      <x:c r="F6" s="6">
        <x:v>0.0</x:v>
      </x:c>
      <x:c r="G6" s="7">
        <x:f t="shared" si="2"/>
        <x:v>0</x:v>
      </x:c>
    </x:row>
    <x:row r="7">
      <x:c r="A7" s="6" t="s">
        <x:v>15</x:v>
      </x:c>
      <x:c r="B7" s="6">
        <x:v>40000.0</x:v>
      </x:c>
      <x:c r="C7" s="6">
        <x:v>0.0</x:v>
      </x:c>
      <x:c r="D7" s="7">
        <x:f t="shared" si="1"/>
        <x:v>0</x:v>
      </x:c>
      <x:c r="E7" s="6">
        <x:v>12000.0</x:v>
      </x:c>
      <x:c r="F7" s="6">
        <x:v>0.0</x:v>
      </x:c>
      <x:c r="G7" s="7">
        <x:f t="shared" si="2"/>
        <x:v>0</x:v>
      </x:c>
    </x:row>
    <x:row r="8">
      <x:c r="A8" s="6" t="s">
        <x:v>16</x:v>
      </x:c>
      <x:c r="B8" s="6">
        <x:v>35000.0</x:v>
      </x:c>
      <x:c r="C8" s="6">
        <x:v>0.0</x:v>
      </x:c>
      <x:c r="D8" s="7">
        <x:f t="shared" si="1"/>
        <x:v>0</x:v>
      </x:c>
      <x:c r="E8" s="6">
        <x:v>10000.0</x:v>
      </x:c>
      <x:c r="F8" s="6">
        <x:v>0.0</x:v>
      </x:c>
      <x:c r="G8" s="7">
        <x:f t="shared" si="2"/>
        <x:v>0</x:v>
      </x:c>
    </x:row>
    <x:row r="9">
      <x:c r="A9" s="6" t="s">
        <x:v>17</x:v>
      </x:c>
      <x:c r="B9" s="6">
        <x:v>35000.0</x:v>
      </x:c>
      <x:c r="C9" s="6">
        <x:v>0.0</x:v>
      </x:c>
      <x:c r="D9" s="7">
        <x:f t="shared" si="1"/>
        <x:v>0</x:v>
      </x:c>
      <x:c r="E9" s="6">
        <x:v>10000.0</x:v>
      </x:c>
      <x:c r="F9" s="6">
        <x:v>0.0</x:v>
      </x:c>
      <x:c r="G9" s="7">
        <x:f t="shared" si="2"/>
        <x:v>0</x:v>
      </x:c>
    </x:row>
    <x:row r="10">
      <x:c r="A10" s="8" t="s">
        <x:v>30</x:v>
      </x:c>
      <x:c r="B10" s="8" t="n">
        <x:f t="shared" ref="B10:C10" si="3">SUM(B5:B9)</x:f>
        <x:v>200000</x:v>
      </x:c>
      <x:c r="C10" s="8">
        <x:f t="shared" si="3"/>
        <x:v>0</x:v>
      </x:c>
      <x:c r="D10" s="7">
        <x:f t="shared" si="1"/>
        <x:v>0</x:v>
      </x:c>
      <x:c r="E10" s="8" t="n">
        <x:f t="shared" ref="E10:F10" si="4">SUM(E5:E9)</x:f>
        <x:v>50000</x:v>
      </x:c>
      <x:c r="F10" s="8">
        <x:f t="shared" si="4"/>
        <x:v>0</x:v>
      </x:c>
      <x:c r="G10" s="7">
        <x:f t="shared" si="2"/>
        <x:v>0</x:v>
      </x:c>
    </x:row>
    <x:row r="12" ht="18" customHeight="1">
      <x:c r="A12" s="12" t="s">
        <x:v>31</x:v>
      </x:c>
      <x:c r="B12" s="13"/>
      <x:c r="C12" s="13"/>
      <x:c r="D12" s="13"/>
      <x:c r="E12" s="13"/>
      <x:c r="F12" s="13"/>
      <x:c r="G12" s="14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24" customWidth="1"/>
    <x:col min="2" max="2" width="19" customWidth="1"/>
    <x:col min="3" max="3" width="17" customWidth="1"/>
    <x:col min="4" max="4" width="19" customWidth="1"/>
    <x:col min="5" max="5" width="13" customWidth="1"/>
    <x:col min="6" max="6" width="12" customWidth="1"/>
    <x:col min="7" max="7" width="13" customWidth="1"/>
    <x:col min="8" max="8" width="14" customWidth="1"/>
  </x:cols>
  <x:sheetData>
    <x:row r="1" ht="21.75" customHeight="1">
      <x:c r="A1" s="9" t="s">
        <x:v>32</x:v>
      </x:c>
    </x:row>
    <x:row r="2" ht="15.75" customHeight="1">
      <x:c r="A2" s="10" t="s">
        <x:v>33</x:v>
      </x:c>
    </x:row>
    <x:row r="4" ht="18" customHeight="1">
      <x:c r="A4" s="12" t="s">
        <x:v>34</x:v>
      </x:c>
      <x:c r="B4" s="13"/>
      <x:c r="C4" s="13"/>
      <x:c r="D4" s="13"/>
      <x:c r="E4" s="13"/>
      <x:c r="F4" s="13"/>
      <x:c r="G4" s="13"/>
      <x:c r="H4" s="14"/>
    </x:row>
    <x:row r="5" ht="30" customHeight="1">
      <x:c r="A5" s="11" t="s">
        <x:v>1</x:v>
      </x:c>
      <x:c r="B5" s="11" t="s">
        <x:v>35</x:v>
      </x:c>
      <x:c r="C5" s="11" t="s">
        <x:v>36</x:v>
      </x:c>
      <x:c r="D5" s="11" t="s">
        <x:v>37</x:v>
      </x:c>
      <x:c r="E5" s="11" t="s">
        <x:v>38</x:v>
      </x:c>
      <x:c r="F5" s="11" t="s">
        <x:v>39</x:v>
      </x:c>
      <x:c r="G5" s="11" t="s">
        <x:v>40</x:v>
      </x:c>
      <x:c r="H5" s="11" t="s">
        <x:v>41</x:v>
      </x:c>
    </x:row>
    <x:row r="6">
      <x:c r="A6" s="15" t="s">
        <x:v>12</x:v>
      </x:c>
      <x:c r="B6" s="6">
        <x:v>0.0</x:v>
      </x:c>
      <x:c r="C6" s="6">
        <x:v>0.0</x:v>
      </x:c>
      <x:c r="D6" s="6">
        <x:v>0.0</x:v>
      </x:c>
      <x:c r="E6" s="6">
        <x:v>0.0</x:v>
      </x:c>
      <x:c r="F6" s="6">
        <x:v>0.0</x:v>
      </x:c>
      <x:c r="G6" s="6">
        <x:v>0.0</x:v>
      </x:c>
      <x:c r="H6" s="7"/>
    </x:row>
    <x:row r="7">
      <x:c r="A7" s="15" t="s">
        <x:v>42</x:v>
      </x:c>
      <x:c r="B7" s="6">
        <x:v>0.0</x:v>
      </x:c>
      <x:c r="C7" s="6">
        <x:v>0.0</x:v>
      </x:c>
      <x:c r="D7" s="6">
        <x:v>0.0</x:v>
      </x:c>
      <x:c r="E7" s="6">
        <x:v>0.0</x:v>
      </x:c>
      <x:c r="F7" s="6">
        <x:v>0.0</x:v>
      </x:c>
      <x:c r="G7" s="6">
        <x:v>0.0</x:v>
      </x:c>
      <x:c r="H7" s="7"/>
    </x:row>
    <x:row r="8">
      <x:c r="A8" s="15" t="s">
        <x:v>43</x:v>
      </x:c>
      <x:c r="B8" s="6">
        <x:v>0.0</x:v>
      </x:c>
      <x:c r="C8" s="6">
        <x:v>0.0</x:v>
      </x:c>
      <x:c r="D8" s="6">
        <x:v>0.0</x:v>
      </x:c>
      <x:c r="E8" s="6">
        <x:v>0.0</x:v>
      </x:c>
      <x:c r="F8" s="6">
        <x:v>0.0</x:v>
      </x:c>
      <x:c r="G8" s="6">
        <x:v>0.0</x:v>
      </x:c>
      <x:c r="H8" s="7"/>
    </x:row>
    <x:row r="9">
      <x:c r="A9" s="8" t="s">
        <x:v>44</x:v>
      </x:c>
      <x:c r="B9" s="8" t="n">
        <x:f>SUM(B6:B8)</x:f>
        <x:v>0</x:v>
      </x:c>
      <x:c r="C9" s="8"/>
      <x:c r="D9" s="8" t="n">
        <x:f t="shared" ref="D9:G9" si="1">SUM(D6:D8)</x:f>
        <x:v>0</x:v>
      </x:c>
      <x:c r="E9" s="8">
        <x:f t="shared" si="1"/>
        <x:v>0</x:v>
      </x:c>
      <x:c r="F9" s="8">
        <x:f t="shared" si="1"/>
        <x:v>0</x:v>
      </x:c>
      <x:c r="G9" s="8">
        <x:f t="shared" si="1"/>
        <x:v>0</x:v>
      </x:c>
      <x:c r="H9" s="8"/>
    </x:row>
    <x:row r="11" ht="18" customHeight="1">
      <x:c r="A11" s="12" t="s">
        <x:v>45</x:v>
      </x:c>
      <x:c r="B11" s="13"/>
      <x:c r="C11" s="13"/>
      <x:c r="D11" s="14"/>
    </x:row>
    <x:row r="12" ht="30" customHeight="1">
      <x:c r="A12" s="11" t="s">
        <x:v>1</x:v>
      </x:c>
      <x:c r="B12" s="11" t="s">
        <x:v>46</x:v>
      </x:c>
      <x:c r="C12" s="11" t="s">
        <x:v>47</x:v>
      </x:c>
      <x:c r="D12" s="11" t="s">
        <x:v>48</x:v>
      </x:c>
    </x:row>
    <x:row r="13">
      <x:c r="A13" s="16"/>
      <x:c r="B13" s="16"/>
      <x:c r="C13" s="6"/>
      <x:c r="D13" s="7"/>
    </x:row>
    <x:row r="14">
      <x:c r="A14" s="16"/>
      <x:c r="B14" s="16"/>
      <x:c r="C14" s="6"/>
      <x:c r="D14" s="7"/>
    </x:row>
    <x:row r="15">
      <x:c r="A15" s="16"/>
      <x:c r="B15" s="16"/>
      <x:c r="C15" s="6"/>
      <x:c r="D15" s="7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4:H4"/>
    <x:mergeCell ref="A11:D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34" t="str">
        <x:v>Consultor</x:v>
      </x:c>
      <x:c r="B1" s="34" t="str">
        <x:v>ProspMeta</x:v>
      </x:c>
      <x:c r="C1" s="34" t="str">
        <x:v>ProspReal</x:v>
      </x:c>
      <x:c r="D1" s="34" t="str">
        <x:v>OrcMeta</x:v>
      </x:c>
      <x:c r="E1" s="34" t="str">
        <x:v>OrcReal</x:v>
      </x:c>
      <x:c r="F1" s="34" t="str">
        <x:v>FechMeta</x:v>
      </x:c>
      <x:c r="G1" s="34" t="str">
        <x:v>FechReal</x:v>
      </x:c>
    </x:row>
    <x:row r="2">
      <x:c r="A2" s="55" t="str">
        <x:v>Adriano</x:v>
      </x:c>
      <x:c r="B2" s="67" t="n">
        <x:f>'Metas por Consultor'!C10</x:f>
        <x:v>75</x:v>
      </x:c>
      <x:c r="C2" s="67" t="n">
        <x:f>'Metas por Consultor'!D10</x:f>
        <x:v>0</x:v>
      </x:c>
      <x:c r="D2" s="67" t="n">
        <x:v>15</x:v>
      </x:c>
      <x:c r="E2" s="67" t="n">
        <x:f>'Painel Equipe'!D6</x:f>
        <x:v>0</x:v>
      </x:c>
      <x:c r="F2" s="67" t="n">
        <x:v>5</x:v>
      </x:c>
      <x:c r="G2" s="68" t="n">
        <x:f>'Painel Equipe'!G6</x:f>
        <x:v>0</x:v>
      </x:c>
    </x:row>
    <x:row r="3">
      <x:c r="A3" s="58" t="str">
        <x:v>Vinicius</x:v>
      </x:c>
      <x:c r="B3" s="69" t="n">
        <x:f>'Metas por Consultor'!C17</x:f>
        <x:v>75</x:v>
      </x:c>
      <x:c r="C3" s="69" t="n">
        <x:f>'Metas por Consultor'!D17</x:f>
        <x:v>0</x:v>
      </x:c>
      <x:c r="D3" s="69" t="n">
        <x:v>20</x:v>
      </x:c>
      <x:c r="E3" s="69" t="n">
        <x:f>'Painel Equipe'!D7</x:f>
        <x:v>0</x:v>
      </x:c>
      <x:c r="F3" s="69" t="n">
        <x:v>6</x:v>
      </x:c>
      <x:c r="G3" s="70" t="n">
        <x:f>'Painel Equipe'!G7</x:f>
        <x:v>0</x:v>
      </x:c>
    </x:row>
    <x:row r="4">
      <x:c r="A4" s="61" t="str">
        <x:v>Gustavo</x:v>
      </x:c>
      <x:c r="B4" s="71" t="n">
        <x:f>'Metas por Consultor'!C24</x:f>
        <x:v>25</x:v>
      </x:c>
      <x:c r="C4" s="71" t="n">
        <x:f>'Metas por Consultor'!D24</x:f>
        <x:v>0</x:v>
      </x:c>
      <x:c r="D4" s="71" t="n">
        <x:v>10</x:v>
      </x:c>
      <x:c r="E4" s="71" t="n">
        <x:f>'Painel Equipe'!D8</x:f>
        <x:v>0</x:v>
      </x:c>
      <x:c r="F4" s="71" t="n">
        <x:v>4</x:v>
      </x:c>
      <x:c r="G4" s="72" t="n">
        <x:f>'Painel Equipe'!G8</x:f>
        <x:v>0</x:v>
      </x:c>
    </x:row>
    <x:row r="5" ht="38" customHeight="1">
      <x:c r="A5" s="66" t="str">
        <x:v>Observação</x:v>
      </x:c>
      <x:c r="B5" s="66" t="str">
        <x:v>Não altere os nomes das colunas. Edite somente as metas, quando necessário.</x:v>
      </x:c>
      <x:c r="C5" s="66"/>
      <x:c r="D5" s="66"/>
      <x:c r="E5" s="66"/>
      <x:c r="F5" s="66"/>
      <x:c r="G5" s="66"/>
    </x:row>
  </x:sheetData>
  <x:pageMargins left="0.7" right="0.7" top="0.75" bottom="0.75" header="0.3" footer="0.3"/>
</x:worksheet>
</file>